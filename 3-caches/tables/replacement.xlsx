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<sst xmlns="http://schemas.openxmlformats.org/spreadsheetml/2006/main" count="32" uniqueCount="28">
  <si>
    <t>Trace</t>
  </si>
  <si>
    <t>LRU</t>
  </si>
  <si>
    <t>SRRIP</t>
  </si>
  <si>
    <t>Pseudo-LRU</t>
  </si>
  <si>
    <t>IPC</t>
  </si>
  <si>
    <t>Miss rate</t>
  </si>
  <si>
    <t>600.perlbench_s-1273B</t>
  </si>
  <si>
    <t>602.gcc_s-1850B</t>
  </si>
  <si>
    <t>603.bwaves_s-2931B</t>
  </si>
  <si>
    <t>605.mcf_s-1536B</t>
  </si>
  <si>
    <t>607.cactuBSSN_s-2421B</t>
  </si>
  <si>
    <t>619.lbm_s-2676B</t>
  </si>
  <si>
    <t>620.omnetpp_s-141B</t>
  </si>
  <si>
    <t>621.wrf_s-575B</t>
  </si>
  <si>
    <t>623.xalancbmk_s-165B</t>
  </si>
  <si>
    <t>0.9411</t>
  </si>
  <si>
    <t>625.x264_s-12B</t>
  </si>
  <si>
    <t>627.cam4_s-490B</t>
  </si>
  <si>
    <t>628.pop2_s-17B</t>
  </si>
  <si>
    <t>631.deepsjeng_s-928B</t>
  </si>
  <si>
    <t>638.imagick_s-10316B</t>
  </si>
  <si>
    <t>641.leela_s-149B</t>
  </si>
  <si>
    <t>644.nab_s-12459B</t>
  </si>
  <si>
    <t>648.exchange2_s-387B</t>
  </si>
  <si>
    <t>649.fotonik3d_s-1176B</t>
  </si>
  <si>
    <t>654.roms_s-293B</t>
  </si>
  <si>
    <t>657.xz_s-4994B</t>
  </si>
  <si>
    <t>Geometric 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</si>
</sst>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0.0"/>
      <color rgb="FF000000"/>
      <name val="Arial"/>
      <scheme val="minor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7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3" fillId="0" fontId="2" numFmtId="0" xfId="0" applyBorder="1" applyFont="1"/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4" fillId="0" fontId="2" numFmtId="0" xfId="0" applyBorder="1" applyFont="1"/>
    <xf borderId="5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7" fillId="0" fontId="1" numFmtId="0" xfId="0" applyAlignment="1" applyBorder="1" applyFont="1">
      <alignment vertical="bottom"/>
    </xf>
    <xf borderId="8" fillId="0" fontId="1" numFmtId="0" xfId="0" applyAlignment="1" applyBorder="1" applyFont="1">
      <alignment horizontal="right" readingOrder="0" vertical="bottom"/>
    </xf>
    <xf borderId="9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9" fillId="0" fontId="1" numFmtId="0" xfId="0" applyAlignment="1" applyBorder="1" applyFont="1">
      <alignment horizontal="right" readingOrder="0" vertical="bottom"/>
    </xf>
    <xf borderId="10" fillId="0" fontId="1" numFmtId="0" xfId="0" applyAlignment="1" applyBorder="1" applyFont="1">
      <alignment vertical="bottom"/>
    </xf>
    <xf borderId="11" fillId="0" fontId="1" numFmtId="0" xfId="0" applyAlignment="1" applyBorder="1" applyFont="1">
      <alignment horizontal="right" readingOrder="0" vertical="bottom"/>
    </xf>
    <xf borderId="12" fillId="0" fontId="1" numFmtId="0" xfId="0" applyAlignment="1" applyBorder="1" applyFont="1">
      <alignment horizontal="right" vertical="bottom"/>
    </xf>
    <xf borderId="13" fillId="0" fontId="1" numFmtId="0" xfId="0" applyAlignment="1" applyBorder="1" applyFont="1">
      <alignment vertical="bottom"/>
    </xf>
    <xf borderId="14" fillId="0" fontId="1" numFmtId="164" xfId="0" applyAlignment="1" applyBorder="1" applyFont="1" applyNumberFormat="1">
      <alignment horizontal="right" vertical="bottom"/>
    </xf>
    <xf borderId="15" fillId="0" fontId="1" numFmtId="164" xfId="0" applyAlignment="1" applyBorder="1" applyFont="1" applyNumberFormat="1">
      <alignment horizontal="right" vertical="bottom"/>
    </xf>
    <xf borderId="14" fillId="0" fontId="1" numFmtId="164" xfId="0" applyAlignment="1" applyBorder="1" applyFont="1" applyNumberFormat="1">
      <alignment horizontal="right" vertical="bottom"/>
    </xf>
    <xf borderId="16" fillId="0" fontId="1" numFmtId="164" xfId="0" applyAlignment="1" applyBorder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</cols>
  <sheetData>
    <row r="1">
      <c r="A1" s="1" t="s">
        <v>0</v>
      </c>
      <c r="B1" s="2" t="s">
        <v>1</v>
      </c>
      <c r="C1" s="3"/>
      <c r="D1" s="2" t="s">
        <v>2</v>
      </c>
      <c r="E1" s="3"/>
      <c r="F1" s="2" t="s">
        <v>3</v>
      </c>
      <c r="G1" s="3"/>
      <c r="H1" s="4"/>
      <c r="J1" s="5"/>
    </row>
    <row r="2">
      <c r="A2" s="6"/>
      <c r="B2" s="7" t="s">
        <v>4</v>
      </c>
      <c r="C2" s="8" t="s">
        <v>5</v>
      </c>
      <c r="D2" s="7" t="s">
        <v>4</v>
      </c>
      <c r="E2" s="8" t="s">
        <v>5</v>
      </c>
      <c r="F2" s="7" t="s">
        <v>4</v>
      </c>
      <c r="G2" s="8" t="s">
        <v>5</v>
      </c>
      <c r="H2" s="4"/>
      <c r="I2" s="9"/>
      <c r="J2" s="5"/>
    </row>
    <row r="3">
      <c r="A3" s="10" t="s">
        <v>6</v>
      </c>
      <c r="B3" s="11">
        <v>2.326</v>
      </c>
      <c r="C3" s="12">
        <f>1344/1995</f>
        <v>0.6736842105</v>
      </c>
      <c r="D3" s="11">
        <v>2.326</v>
      </c>
      <c r="E3" s="12">
        <f>1344/1995</f>
        <v>0.6736842105</v>
      </c>
      <c r="F3" s="11">
        <v>2.326</v>
      </c>
      <c r="G3" s="12">
        <f>1344/1995</f>
        <v>0.6736842105</v>
      </c>
      <c r="H3" s="13"/>
      <c r="I3" s="13"/>
      <c r="J3" s="5"/>
    </row>
    <row r="4">
      <c r="A4" s="10" t="s">
        <v>7</v>
      </c>
      <c r="B4" s="11">
        <v>0.2524</v>
      </c>
      <c r="C4" s="12">
        <f>454336/615123</f>
        <v>0.7386100016</v>
      </c>
      <c r="D4" s="11">
        <v>0.2524</v>
      </c>
      <c r="E4" s="12">
        <f>454336/615124</f>
        <v>0.7386088008</v>
      </c>
      <c r="F4" s="11">
        <v>0.2524</v>
      </c>
      <c r="G4" s="12">
        <f>454335/615124</f>
        <v>0.7386071751</v>
      </c>
      <c r="H4" s="13"/>
      <c r="I4" s="13"/>
      <c r="J4" s="5"/>
    </row>
    <row r="5">
      <c r="A5" s="10" t="s">
        <v>8</v>
      </c>
      <c r="B5" s="11">
        <v>0.8841</v>
      </c>
      <c r="C5" s="12">
        <f>373490/586804</f>
        <v>0.6364816872</v>
      </c>
      <c r="D5" s="11">
        <v>0.8685</v>
      </c>
      <c r="E5" s="12">
        <f>374084/586904</f>
        <v>0.6373853305</v>
      </c>
      <c r="F5" s="11">
        <v>0.8693</v>
      </c>
      <c r="G5" s="12">
        <f>373598/587011</f>
        <v>0.6364412251</v>
      </c>
      <c r="H5" s="13"/>
      <c r="I5" s="13"/>
      <c r="J5" s="5"/>
    </row>
    <row r="6">
      <c r="A6" s="10" t="s">
        <v>9</v>
      </c>
      <c r="B6" s="11">
        <v>0.2404</v>
      </c>
      <c r="C6" s="12">
        <f>1681158/2899903</f>
        <v>0.5797290461</v>
      </c>
      <c r="D6" s="11">
        <v>0.1277</v>
      </c>
      <c r="E6" s="12">
        <f>1702215/2902278</f>
        <v>0.586509976</v>
      </c>
      <c r="F6" s="11">
        <v>0.1313</v>
      </c>
      <c r="G6" s="12">
        <f>1699349/2904567</f>
        <v>0.5850610435</v>
      </c>
      <c r="H6" s="13"/>
      <c r="I6" s="13"/>
      <c r="J6" s="5"/>
    </row>
    <row r="7">
      <c r="A7" s="10" t="s">
        <v>10</v>
      </c>
      <c r="B7" s="11">
        <v>0.1644</v>
      </c>
      <c r="C7" s="12">
        <f>136179/2661202</f>
        <v>0.0511719892</v>
      </c>
      <c r="D7" s="11">
        <v>1.361</v>
      </c>
      <c r="E7" s="12">
        <f>138076/2660894</f>
        <v>0.05189083068</v>
      </c>
      <c r="F7" s="11">
        <v>1.363</v>
      </c>
      <c r="G7" s="12">
        <f>136788/2661079</f>
        <v>0.051403209</v>
      </c>
      <c r="H7" s="13"/>
      <c r="I7" s="13"/>
      <c r="J7" s="5"/>
    </row>
    <row r="8">
      <c r="A8" s="10" t="s">
        <v>11</v>
      </c>
      <c r="B8" s="11">
        <v>0.4697</v>
      </c>
      <c r="C8" s="12">
        <f>1140457/3375782</f>
        <v>0.3378349076</v>
      </c>
      <c r="D8" s="11">
        <v>0.4839</v>
      </c>
      <c r="E8" s="12">
        <f>1139292/3375742</f>
        <v>0.3374938014</v>
      </c>
      <c r="F8" s="11">
        <v>0.4826</v>
      </c>
      <c r="G8" s="12">
        <f>1140304/3375785</f>
        <v>0.3377892846</v>
      </c>
      <c r="H8" s="13"/>
      <c r="I8" s="13"/>
      <c r="J8" s="5"/>
    </row>
    <row r="9">
      <c r="A9" s="10" t="s">
        <v>12</v>
      </c>
      <c r="B9" s="11">
        <v>0.2743</v>
      </c>
      <c r="C9" s="14">
        <f>569769/1017930</f>
        <v>0.5597329875</v>
      </c>
      <c r="D9" s="11">
        <v>0.2572</v>
      </c>
      <c r="E9" s="12">
        <f>569675/1017843</f>
        <v>0.5596884785</v>
      </c>
      <c r="F9" s="11">
        <v>0.2603</v>
      </c>
      <c r="G9" s="12">
        <f>569604/1017841</f>
        <v>0.5596198227</v>
      </c>
      <c r="H9" s="13"/>
      <c r="I9" s="13"/>
      <c r="J9" s="5"/>
    </row>
    <row r="10">
      <c r="A10" s="10" t="s">
        <v>13</v>
      </c>
      <c r="B10" s="11">
        <v>1.306</v>
      </c>
      <c r="C10" s="12">
        <f>1370/1788</f>
        <v>0.7662192394</v>
      </c>
      <c r="D10" s="11">
        <v>1.306</v>
      </c>
      <c r="E10" s="12">
        <f>1370/1788</f>
        <v>0.7662192394</v>
      </c>
      <c r="F10" s="11">
        <v>1.306</v>
      </c>
      <c r="G10" s="12">
        <f>1370/1788</f>
        <v>0.7662192394</v>
      </c>
      <c r="H10" s="13"/>
      <c r="I10" s="13"/>
      <c r="J10" s="5"/>
    </row>
    <row r="11">
      <c r="A11" s="10" t="s">
        <v>14</v>
      </c>
      <c r="B11" s="11">
        <v>0.5303</v>
      </c>
      <c r="C11" s="12">
        <f>475406/475743</f>
        <v>0.9992916343</v>
      </c>
      <c r="D11" s="11">
        <v>0.9421</v>
      </c>
      <c r="E11" s="14">
        <f>475405/475743</f>
        <v>0.9992895324</v>
      </c>
      <c r="F11" s="11" t="s">
        <v>15</v>
      </c>
      <c r="G11" s="12">
        <f>475406/475744</f>
        <v>0.9992895339</v>
      </c>
      <c r="H11" s="13"/>
      <c r="I11" s="13"/>
      <c r="J11" s="5"/>
    </row>
    <row r="12">
      <c r="A12" s="10" t="s">
        <v>16</v>
      </c>
      <c r="B12" s="11">
        <v>2.682</v>
      </c>
      <c r="C12" s="12">
        <f>6928/11999</f>
        <v>0.5773814485</v>
      </c>
      <c r="D12" s="11">
        <v>2.682</v>
      </c>
      <c r="E12" s="12">
        <f>6928/11999</f>
        <v>0.5773814485</v>
      </c>
      <c r="F12" s="11">
        <v>2.682</v>
      </c>
      <c r="G12" s="12">
        <f>6928/11999</f>
        <v>0.5773814485</v>
      </c>
      <c r="H12" s="13"/>
      <c r="I12" s="13"/>
      <c r="J12" s="5"/>
    </row>
    <row r="13">
      <c r="A13" s="10" t="s">
        <v>17</v>
      </c>
      <c r="B13" s="11">
        <v>1.141</v>
      </c>
      <c r="C13" s="12">
        <f>312548/667943</f>
        <v>0.4679261554</v>
      </c>
      <c r="D13" s="11">
        <v>1.094</v>
      </c>
      <c r="E13" s="12">
        <f>312564/667946</f>
        <v>0.4679480078</v>
      </c>
      <c r="F13" s="11">
        <v>1.083</v>
      </c>
      <c r="G13" s="12">
        <f>312556/667957</f>
        <v>0.4679283247</v>
      </c>
      <c r="H13" s="13"/>
      <c r="I13" s="13"/>
      <c r="J13" s="5"/>
    </row>
    <row r="14">
      <c r="A14" s="10" t="s">
        <v>18</v>
      </c>
      <c r="B14" s="11">
        <v>1.278</v>
      </c>
      <c r="C14" s="14">
        <f>231610/753629</f>
        <v>0.3073262839</v>
      </c>
      <c r="D14" s="11">
        <v>1.15</v>
      </c>
      <c r="E14" s="12">
        <f>231917/753639</f>
        <v>0.3077295628</v>
      </c>
      <c r="F14" s="11">
        <v>1.16</v>
      </c>
      <c r="G14" s="12">
        <f>232122/753651</f>
        <v>0.3079966722</v>
      </c>
      <c r="H14" s="13"/>
      <c r="I14" s="13"/>
      <c r="J14" s="5"/>
    </row>
    <row r="15">
      <c r="A15" s="10" t="s">
        <v>19</v>
      </c>
      <c r="B15" s="11">
        <v>1.297</v>
      </c>
      <c r="C15" s="12">
        <f>19433/70876</f>
        <v>0.2741830803</v>
      </c>
      <c r="D15" s="11">
        <v>1.297</v>
      </c>
      <c r="E15" s="12">
        <f>19433/70876</f>
        <v>0.2741830803</v>
      </c>
      <c r="F15" s="11">
        <v>1.297</v>
      </c>
      <c r="G15" s="12">
        <f>19433/70876</f>
        <v>0.2741830803</v>
      </c>
      <c r="H15" s="13"/>
      <c r="I15" s="13"/>
      <c r="J15" s="5"/>
    </row>
    <row r="16">
      <c r="A16" s="10" t="s">
        <v>20</v>
      </c>
      <c r="B16" s="11">
        <v>3.378</v>
      </c>
      <c r="C16" s="12">
        <f>1006/222891</f>
        <v>0.004513416872</v>
      </c>
      <c r="D16" s="11">
        <v>3.378</v>
      </c>
      <c r="E16" s="12">
        <f>1006/222891</f>
        <v>0.004513416872</v>
      </c>
      <c r="F16" s="11">
        <v>3.378</v>
      </c>
      <c r="G16" s="12">
        <f>1006/222891</f>
        <v>0.004513416872</v>
      </c>
      <c r="H16" s="13"/>
      <c r="I16" s="13"/>
      <c r="J16" s="5"/>
    </row>
    <row r="17">
      <c r="A17" s="10" t="s">
        <v>21</v>
      </c>
      <c r="B17" s="11">
        <v>1.049</v>
      </c>
      <c r="C17" s="12">
        <f>96942/292653</f>
        <v>0.3312523706</v>
      </c>
      <c r="D17" s="11">
        <v>1.055</v>
      </c>
      <c r="E17" s="12">
        <f>96942/292653</f>
        <v>0.3312523706</v>
      </c>
      <c r="F17" s="11">
        <v>1.054</v>
      </c>
      <c r="G17" s="12">
        <f>96942/292653</f>
        <v>0.3312523706</v>
      </c>
      <c r="H17" s="13"/>
      <c r="I17" s="13"/>
      <c r="J17" s="5"/>
    </row>
    <row r="18">
      <c r="A18" s="10" t="s">
        <v>22</v>
      </c>
      <c r="B18" s="11">
        <v>1.69</v>
      </c>
      <c r="C18" s="12">
        <f>24616/160003</f>
        <v>0.1538471154</v>
      </c>
      <c r="D18" s="11">
        <v>1.69</v>
      </c>
      <c r="E18" s="12">
        <f>24616/160003</f>
        <v>0.1538471154</v>
      </c>
      <c r="F18" s="11">
        <v>1.69</v>
      </c>
      <c r="G18" s="12">
        <f>24616/160003</f>
        <v>0.1538471154</v>
      </c>
      <c r="H18" s="13"/>
      <c r="I18" s="13"/>
      <c r="J18" s="5"/>
    </row>
    <row r="19">
      <c r="A19" s="10" t="s">
        <v>23</v>
      </c>
      <c r="B19" s="11">
        <v>1.723</v>
      </c>
      <c r="C19" s="12">
        <f>1178/9485</f>
        <v>0.1241960991</v>
      </c>
      <c r="D19" s="11">
        <v>1.723</v>
      </c>
      <c r="E19" s="12">
        <f>1178/9485</f>
        <v>0.1241960991</v>
      </c>
      <c r="F19" s="11">
        <v>1.723</v>
      </c>
      <c r="G19" s="12">
        <f>1178/9485</f>
        <v>0.1241960991</v>
      </c>
      <c r="H19" s="13"/>
      <c r="I19" s="13"/>
      <c r="J19" s="5"/>
    </row>
    <row r="20">
      <c r="A20" s="10" t="s">
        <v>24</v>
      </c>
      <c r="B20" s="11">
        <v>0.3923</v>
      </c>
      <c r="C20" s="12">
        <f>241090/554464</f>
        <v>0.4348163271</v>
      </c>
      <c r="D20" s="11">
        <v>0.4009</v>
      </c>
      <c r="E20" s="12">
        <f>241090/554464</f>
        <v>0.4348163271</v>
      </c>
      <c r="F20" s="11">
        <v>0.4021</v>
      </c>
      <c r="G20" s="12">
        <f>241069/554464</f>
        <v>0.4347784527</v>
      </c>
      <c r="H20" s="13"/>
      <c r="I20" s="13"/>
      <c r="J20" s="5"/>
    </row>
    <row r="21">
      <c r="A21" s="10" t="s">
        <v>25</v>
      </c>
      <c r="B21" s="11">
        <v>1.305</v>
      </c>
      <c r="C21" s="12">
        <f>236177/401590</f>
        <v>0.5881047835</v>
      </c>
      <c r="D21" s="11">
        <v>1.481</v>
      </c>
      <c r="E21" s="12">
        <f>236132/401660</f>
        <v>0.5878902554</v>
      </c>
      <c r="F21" s="11">
        <v>1.448</v>
      </c>
      <c r="G21" s="12">
        <f>236184/401648</f>
        <v>0.5880372864</v>
      </c>
      <c r="H21" s="13"/>
      <c r="I21" s="13"/>
      <c r="J21" s="5"/>
    </row>
    <row r="22">
      <c r="A22" s="15" t="s">
        <v>26</v>
      </c>
      <c r="B22" s="16">
        <v>1.824</v>
      </c>
      <c r="C22" s="17">
        <f>4243/13602</f>
        <v>0.3119394207</v>
      </c>
      <c r="D22" s="16">
        <v>1.824</v>
      </c>
      <c r="E22" s="17">
        <f>4243/13602</f>
        <v>0.3119394207</v>
      </c>
      <c r="F22" s="16">
        <v>1.824</v>
      </c>
      <c r="G22" s="17">
        <f>4243/13602</f>
        <v>0.3119394207</v>
      </c>
      <c r="H22" s="13"/>
      <c r="I22" s="13"/>
      <c r="J22" s="5"/>
    </row>
    <row r="23">
      <c r="A23" s="18" t="s">
        <v>27</v>
      </c>
      <c r="B23" s="19">
        <f t="shared" ref="B23:G23" si="1">GEOMEAN(B3:B22)</f>
        <v>0.8863009113</v>
      </c>
      <c r="C23" s="20">
        <f t="shared" si="1"/>
        <v>0.3107641636</v>
      </c>
      <c r="D23" s="21">
        <f t="shared" si="1"/>
        <v>0.9799861345</v>
      </c>
      <c r="E23" s="20">
        <f t="shared" si="1"/>
        <v>0.3111823784</v>
      </c>
      <c r="F23" s="21">
        <f t="shared" si="1"/>
        <v>0.9829287696</v>
      </c>
      <c r="G23" s="22">
        <f t="shared" si="1"/>
        <v>0.311001035</v>
      </c>
      <c r="H23" s="23"/>
      <c r="I23" s="23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</sheetData>
  <mergeCells count="5">
    <mergeCell ref="A1:A2"/>
    <mergeCell ref="B1:C1"/>
    <mergeCell ref="D1:E1"/>
    <mergeCell ref="F1:G1"/>
    <mergeCell ref="H1:I1"/>
  </mergeCells>
  <drawing r:id="rId1"/>
</worksheet>
</file>